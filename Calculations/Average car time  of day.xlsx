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nl\Desktop\Data for final year project\"/>
    </mc:Choice>
  </mc:AlternateContent>
  <xr:revisionPtr revIDLastSave="0" documentId="13_ncr:1_{215F4487-2CDA-4FE7-83B0-724B5DD618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P-TTFTCD2023TBL1.2" sheetId="1" r:id="rId1"/>
  </sheets>
  <calcPr calcId="191029"/>
  <pivotCaches>
    <pivotCache cacheId="1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<sst xmlns="http://schemas.openxmlformats.org/spreadsheetml/2006/main" count="16" uniqueCount="9">
  <si>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Hour of day</t>
  </si>
  <si>
    <t>Table 1.2 Average hourly car count per tmu (Monday - Sunday), 2019 and 2022</t>
  </si>
  <si>
    <t>Sum of 2022</t>
  </si>
  <si>
    <t>Sum of 2019</t>
  </si>
  <si>
    <t>DAY</t>
  </si>
  <si>
    <t>NIGHT</t>
  </si>
  <si>
    <t>Hour of Day</t>
  </si>
  <si>
    <t>Total volume</t>
  </si>
  <si>
    <t>Total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</si>
</sst>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/>
    <xf numFmtId="0" fontId="18" fillId="0" borderId="10" xfId="0" applyFont="1" applyBorder="1"/>
    <xf numFmtId="0" fontId="19" fillId="0" borderId="10" xfId="0" applyFont="1" applyBorder="1"/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connor" refreshedDate="46077.845450578701" createdVersion="8" refreshedVersion="8" minRefreshableVersion="3" recordCount="24" xr:uid="{3C76B59D-EDC2-4233-A0A6-DE81DFA8DB84}">
  <cacheSource type="worksheet">
    <worksheetSource ref="A2:C26" sheet="FP-TTFTCD2023TBL1.2"/>
  </cacheSource>
  <cacheFields count="3">
    <cacheField name="Hour of day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2019" numFmtId="0">
      <sharedItems containsSemiMixedTypes="0" containsString="0" containsNumber="1" containsInteger="1" minValue="55" maxValue="1456" count="24">
        <n v="134"/>
        <n v="80"/>
        <n v="55"/>
        <n v="56"/>
        <n v="89"/>
        <n v="194"/>
        <n v="555"/>
        <n v="940"/>
        <n v="1091"/>
        <n v="960"/>
        <n v="903"/>
        <n v="991"/>
        <n v="1102"/>
        <n v="1178"/>
        <n v="1192"/>
        <n v="1276"/>
        <n v="1411"/>
        <n v="1456"/>
        <n v="1252"/>
        <n v="933"/>
        <n v="675"/>
        <n v="486"/>
        <n v="331"/>
        <n v="213"/>
      </sharedItems>
    </cacheField>
    <cacheField name="2022" numFmtId="0">
      <sharedItems containsSemiMixedTypes="0" containsString="0" containsNumber="1" containsInteger="1" minValue="64" maxValue="1413" count="24">
        <n v="134"/>
        <n v="83"/>
        <n v="64"/>
        <n v="68"/>
        <n v="94"/>
        <n v="197"/>
        <n v="556"/>
        <n v="900"/>
        <n v="1024"/>
        <n v="910"/>
        <n v="907"/>
        <n v="1012"/>
        <n v="1128"/>
        <n v="1201"/>
        <n v="1210"/>
        <n v="1285"/>
        <n v="1389"/>
        <n v="1413"/>
        <n v="1183"/>
        <n v="878"/>
        <n v="632"/>
        <n v="441"/>
        <n v="302"/>
        <n v="2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  <r>
    <x v="12"/>
    <x v="12"/>
    <x v="12"/>
  </r>
  <r>
    <x v="13"/>
    <x v="13"/>
    <x v="13"/>
  </r>
  <r>
    <x v="14"/>
    <x v="14"/>
    <x v="14"/>
  </r>
  <r>
    <x v="15"/>
    <x v="15"/>
    <x v="15"/>
  </r>
  <r>
    <x v="16"/>
    <x v="16"/>
    <x v="16"/>
  </r>
  <r>
    <x v="17"/>
    <x v="17"/>
    <x v="17"/>
  </r>
  <r>
    <x v="18"/>
    <x v="18"/>
    <x v="18"/>
  </r>
  <r>
    <x v="19"/>
    <x v="19"/>
    <x v="19"/>
  </r>
  <r>
    <x v="20"/>
    <x v="20"/>
    <x v="20"/>
  </r>
  <r>
    <x v="21"/>
    <x v="21"/>
    <x v="21"/>
  </r>
  <r>
    <x v="22"/>
    <x v="22"/>
    <x v="22"/>
  </r>
  <r>
    <x v="23"/>
    <x v="23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EED5A-CBDC-4B79-B297-6A9FF036762E}" name="PivotTable2" cacheId="14" applyNumberFormats="0" applyBorderFormats="0" applyFontFormats="0" applyPatternFormats="0" applyAlignmentFormats="0" applyWidthHeightFormats="1" dataCaption="Values" grandTotalCaption="Total volume" updatedVersion="8" minRefreshableVersion="3" useAutoFormatting="1" itemPrintTitles="1" createdVersion="8" indent="0" outline="1" outlineData="1" multipleFieldFilters="0" rowHeaderCaption="Hour of Day">
  <location ref="H2:J27" firstHeaderRow="0" firstDataRow="1" firstDataCol="1"/>
  <pivotFields count="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>
      <items count="25">
        <item x="2"/>
        <item x="3"/>
        <item x="1"/>
        <item x="4"/>
        <item x="0"/>
        <item x="5"/>
        <item x="23"/>
        <item x="22"/>
        <item x="21"/>
        <item x="6"/>
        <item x="20"/>
        <item x="10"/>
        <item x="19"/>
        <item x="7"/>
        <item x="9"/>
        <item x="11"/>
        <item x="8"/>
        <item x="12"/>
        <item x="13"/>
        <item x="14"/>
        <item x="18"/>
        <item x="15"/>
        <item x="16"/>
        <item x="17"/>
        <item t="default"/>
      </items>
    </pivotField>
    <pivotField dataField="1" showAll="0">
      <items count="25">
        <item x="2"/>
        <item x="3"/>
        <item x="1"/>
        <item x="4"/>
        <item x="0"/>
        <item x="5"/>
        <item x="23"/>
        <item x="22"/>
        <item x="21"/>
        <item x="6"/>
        <item x="20"/>
        <item x="19"/>
        <item x="7"/>
        <item x="10"/>
        <item x="9"/>
        <item x="11"/>
        <item x="8"/>
        <item x="12"/>
        <item x="18"/>
        <item x="13"/>
        <item x="14"/>
        <item x="15"/>
        <item x="16"/>
        <item x="17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2019" fld="1" baseField="0" baseItem="0"/>
    <dataField name="Sum of 2022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2D152-3AA5-4525-BDDF-CF4169618BEE}" name="PivotTable4" cacheId="14" applyNumberFormats="0" applyBorderFormats="0" applyFontFormats="0" applyPatternFormats="0" applyAlignmentFormats="0" applyWidthHeightFormats="1" dataCaption="Values" grandTotalCaption="Total Volume" updatedVersion="8" minRefreshableVersion="3" useAutoFormatting="1" itemPrintTitles="1" createdVersion="8" indent="0" outline="1" outlineData="1" multipleFieldFilters="0" rowHeaderCaption="Hour of day">
  <location ref="O25:Q35" firstHeaderRow="0" firstDataRow="1" firstDataCol="1"/>
  <pivotFields count="3">
    <pivotField axis="axisRow" showAll="0">
      <items count="25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x="22"/>
        <item x="23"/>
        <item t="default"/>
      </items>
    </pivotField>
    <pivotField dataField="1" showAll="0">
      <items count="25">
        <item x="2"/>
        <item x="3"/>
        <item x="1"/>
        <item x="4"/>
        <item x="0"/>
        <item x="5"/>
        <item x="23"/>
        <item x="22"/>
        <item x="21"/>
        <item x="6"/>
        <item x="20"/>
        <item x="10"/>
        <item x="19"/>
        <item x="7"/>
        <item x="9"/>
        <item x="11"/>
        <item x="8"/>
        <item x="12"/>
        <item x="13"/>
        <item x="14"/>
        <item x="18"/>
        <item x="15"/>
        <item x="16"/>
        <item x="17"/>
        <item t="default"/>
      </items>
    </pivotField>
    <pivotField dataField="1" showAll="0">
      <items count="25">
        <item x="2"/>
        <item x="3"/>
        <item x="1"/>
        <item x="4"/>
        <item x="0"/>
        <item x="5"/>
        <item x="23"/>
        <item x="22"/>
        <item x="21"/>
        <item x="6"/>
        <item x="20"/>
        <item x="19"/>
        <item x="7"/>
        <item x="10"/>
        <item x="9"/>
        <item x="11"/>
        <item x="8"/>
        <item x="12"/>
        <item x="18"/>
        <item x="13"/>
        <item x="14"/>
        <item x="15"/>
        <item x="16"/>
        <item x="17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2019" fld="1" baseField="0" baseItem="0"/>
    <dataField name="Sum of 2022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A9082-E946-4DDC-A6E2-9219C863193F}" name="PivotTable3" cacheId="14" applyNumberFormats="0" applyBorderFormats="0" applyFontFormats="0" applyPatternFormats="0" applyAlignmentFormats="0" applyWidthHeightFormats="1" dataCaption="Values" grandTotalCaption="Total volume" updatedVersion="8" minRefreshableVersion="3" useAutoFormatting="1" itemPrintTitles="1" createdVersion="8" indent="0" outline="1" outlineData="1" multipleFieldFilters="0" rowHeaderCaption="Hour of day">
  <location ref="O2:Q18" firstHeaderRow="0" firstDataRow="1" firstDataCol="1"/>
  <pivotFields count="3">
    <pivotField axis="axisRow" showAll="0">
      <items count="25"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1"/>
        <item h="1" x="22"/>
        <item h="1" x="23"/>
        <item t="default"/>
      </items>
    </pivotField>
    <pivotField dataField="1" showAll="0">
      <items count="25">
        <item x="2"/>
        <item x="3"/>
        <item x="1"/>
        <item x="4"/>
        <item x="0"/>
        <item x="5"/>
        <item x="23"/>
        <item x="22"/>
        <item x="21"/>
        <item x="6"/>
        <item x="20"/>
        <item x="10"/>
        <item x="19"/>
        <item x="7"/>
        <item x="9"/>
        <item x="11"/>
        <item x="8"/>
        <item x="12"/>
        <item x="13"/>
        <item x="14"/>
        <item x="18"/>
        <item x="15"/>
        <item x="16"/>
        <item x="17"/>
        <item t="default"/>
      </items>
    </pivotField>
    <pivotField dataField="1" showAll="0">
      <items count="25">
        <item x="2"/>
        <item x="3"/>
        <item x="1"/>
        <item x="4"/>
        <item x="0"/>
        <item x="5"/>
        <item x="23"/>
        <item x="22"/>
        <item x="21"/>
        <item x="6"/>
        <item x="20"/>
        <item x="19"/>
        <item x="7"/>
        <item x="10"/>
        <item x="9"/>
        <item x="11"/>
        <item x="8"/>
        <item x="12"/>
        <item x="18"/>
        <item x="13"/>
        <item x="14"/>
        <item x="15"/>
        <item x="16"/>
        <item x="17"/>
        <item t="default"/>
      </items>
    </pivotField>
  </pivotFields>
  <rowFields count="1">
    <field x="0"/>
  </rowFields>
  <rowItems count="16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2019" fld="1" baseField="0" baseItem="0"/>
    <dataField name="Sum of 2022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2"/>
  <sheetViews>
    <sheetView tabSelected="1" topLeftCell="C9" zoomScale="101" workbookViewId="0">
      <selection activeCell="P24" sqref="P24"/>
    </sheetView>
  </sheetViews>
  <sheetFormatPr defaultColWidth="9.109375" defaultRowHeight="15" customHeight="1" x14ac:dyDescent="0.2"/>
  <cols>
    <col min="1" max="1" width="16.6640625" style="1" customWidth="1"/>
    <col min="2" max="2" width="21.44140625" style="1" customWidth="1"/>
    <col min="3" max="3" width="24" style="1" customWidth="1"/>
    <col min="4" max="7" width="9.109375" style="1"/>
    <col min="8" max="8" width="13.44140625" style="1" bestFit="1" customWidth="1"/>
    <col min="9" max="10" width="11.77734375" style="1" bestFit="1" customWidth="1"/>
    <col min="11" max="12" width="3" style="1" bestFit="1" customWidth="1"/>
    <col min="13" max="14" width="4" style="1" bestFit="1" customWidth="1"/>
    <col min="15" max="15" width="13.21875" style="1" bestFit="1" customWidth="1"/>
    <col min="16" max="17" width="11.77734375" style="1" bestFit="1" customWidth="1"/>
    <col min="18" max="23" width="4" style="1" bestFit="1" customWidth="1"/>
    <col min="24" max="32" width="5" style="1" bestFit="1" customWidth="1"/>
    <col min="33" max="33" width="11" style="1" bestFit="1" customWidth="1"/>
    <col min="34" max="34" width="8.77734375" style="1" bestFit="1" customWidth="1"/>
    <col min="35" max="35" width="6" style="1" bestFit="1" customWidth="1"/>
    <col min="36" max="36" width="8.77734375" style="1" bestFit="1" customWidth="1"/>
    <col min="37" max="37" width="6" style="1" bestFit="1" customWidth="1"/>
    <col min="38" max="38" width="8.77734375" style="1" bestFit="1" customWidth="1"/>
    <col min="39" max="39" width="7" style="1" bestFit="1" customWidth="1"/>
    <col min="40" max="40" width="9.6640625" style="1" bestFit="1" customWidth="1"/>
    <col min="41" max="41" width="7" style="1" bestFit="1" customWidth="1"/>
    <col min="42" max="42" width="9.6640625" style="1" bestFit="1" customWidth="1"/>
    <col min="43" max="43" width="7" style="1" bestFit="1" customWidth="1"/>
    <col min="44" max="44" width="9.6640625" style="1" bestFit="1" customWidth="1"/>
    <col min="45" max="45" width="7" style="1" bestFit="1" customWidth="1"/>
    <col min="46" max="46" width="9.6640625" style="1" bestFit="1" customWidth="1"/>
    <col min="47" max="47" width="7" style="1" bestFit="1" customWidth="1"/>
    <col min="48" max="48" width="9.6640625" style="1" bestFit="1" customWidth="1"/>
    <col min="49" max="49" width="7" style="1" bestFit="1" customWidth="1"/>
    <col min="50" max="50" width="9.6640625" style="1" bestFit="1" customWidth="1"/>
    <col min="51" max="51" width="7" style="1" bestFit="1" customWidth="1"/>
    <col min="52" max="52" width="9.6640625" style="1" bestFit="1" customWidth="1"/>
    <col min="53" max="53" width="7" style="1" bestFit="1" customWidth="1"/>
    <col min="54" max="54" width="9.6640625" style="1" bestFit="1" customWidth="1"/>
    <col min="55" max="55" width="7" style="1" bestFit="1" customWidth="1"/>
    <col min="56" max="56" width="9.6640625" style="1" bestFit="1" customWidth="1"/>
    <col min="57" max="57" width="11" style="1" bestFit="1" customWidth="1"/>
    <col min="58" max="58" width="7.77734375" style="1" bestFit="1" customWidth="1"/>
    <col min="59" max="59" width="7" style="1" bestFit="1" customWidth="1"/>
    <col min="60" max="60" width="9.6640625" style="1" bestFit="1" customWidth="1"/>
    <col min="61" max="61" width="7.77734375" style="1" bestFit="1" customWidth="1"/>
    <col min="62" max="62" width="7" style="1" bestFit="1" customWidth="1"/>
    <col min="63" max="63" width="9.6640625" style="1" bestFit="1" customWidth="1"/>
    <col min="64" max="64" width="7.77734375" style="1" bestFit="1" customWidth="1"/>
    <col min="65" max="65" width="6" style="1" bestFit="1" customWidth="1"/>
    <col min="66" max="66" width="8.77734375" style="1" bestFit="1" customWidth="1"/>
    <col min="67" max="67" width="7.77734375" style="1" bestFit="1" customWidth="1"/>
    <col min="68" max="68" width="6" style="1" bestFit="1" customWidth="1"/>
    <col min="69" max="69" width="8.77734375" style="1" bestFit="1" customWidth="1"/>
    <col min="70" max="70" width="7.77734375" style="1" bestFit="1" customWidth="1"/>
    <col min="71" max="71" width="6" style="1" bestFit="1" customWidth="1"/>
    <col min="72" max="72" width="8.77734375" style="1" bestFit="1" customWidth="1"/>
    <col min="73" max="73" width="7.77734375" style="1" bestFit="1" customWidth="1"/>
    <col min="74" max="74" width="6" style="1" bestFit="1" customWidth="1"/>
    <col min="75" max="75" width="8.77734375" style="1" bestFit="1" customWidth="1"/>
    <col min="76" max="76" width="7.77734375" style="1" bestFit="1" customWidth="1"/>
    <col min="77" max="77" width="6" style="1" bestFit="1" customWidth="1"/>
    <col min="78" max="78" width="8.77734375" style="1" bestFit="1" customWidth="1"/>
    <col min="79" max="79" width="7.77734375" style="1" bestFit="1" customWidth="1"/>
    <col min="80" max="80" width="11" style="1" bestFit="1" customWidth="1"/>
    <col min="81" max="16384" width="9.109375" style="1"/>
  </cols>
  <sheetData>
    <row r="1" spans="1:80" ht="27" customHeight="1" x14ac:dyDescent="0.2">
      <c r="A1" s="9" t="s">
        <v>1</v>
      </c>
      <c r="B1" s="10"/>
      <c r="C1" s="10"/>
      <c r="O1" s="1" t="s">
        <v>4</v>
      </c>
      <c r="P1" s="1">
        <v>0.90669999999999995</v>
      </c>
      <c r="Q1" s="1">
        <v>0.90786</v>
      </c>
    </row>
    <row r="2" spans="1:80" ht="15" customHeight="1" x14ac:dyDescent="0.3">
      <c r="A2" s="2" t="s">
        <v>0</v>
      </c>
      <c r="B2" s="2">
        <v>2019</v>
      </c>
      <c r="C2" s="2">
        <v>2022</v>
      </c>
      <c r="H2" s="7" t="s">
        <v>6</v>
      </c>
      <c r="I2" t="s">
        <v>3</v>
      </c>
      <c r="J2" t="s">
        <v>2</v>
      </c>
      <c r="K2"/>
      <c r="L2"/>
      <c r="M2"/>
      <c r="N2"/>
      <c r="O2" s="7" t="s">
        <v>0</v>
      </c>
      <c r="P2" t="s">
        <v>3</v>
      </c>
      <c r="Q2" t="s">
        <v>2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 spans="1:80" ht="15" customHeight="1" x14ac:dyDescent="0.3">
      <c r="A3" s="4">
        <v>0</v>
      </c>
      <c r="B3" s="6">
        <v>134</v>
      </c>
      <c r="C3" s="1">
        <v>134</v>
      </c>
      <c r="H3" s="8">
        <v>0</v>
      </c>
      <c r="I3" s="11">
        <v>134</v>
      </c>
      <c r="J3" s="11">
        <v>134</v>
      </c>
      <c r="K3"/>
      <c r="L3"/>
      <c r="M3"/>
      <c r="N3"/>
      <c r="O3" s="8">
        <v>6</v>
      </c>
      <c r="P3" s="11">
        <v>555</v>
      </c>
      <c r="Q3" s="11">
        <v>556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 spans="1:80" ht="15" customHeight="1" x14ac:dyDescent="0.3">
      <c r="A4" s="4">
        <v>1</v>
      </c>
      <c r="B4" s="1">
        <v>80</v>
      </c>
      <c r="C4" s="1">
        <v>83</v>
      </c>
      <c r="H4" s="8">
        <v>1</v>
      </c>
      <c r="I4" s="11">
        <v>80</v>
      </c>
      <c r="J4" s="11">
        <v>83</v>
      </c>
      <c r="K4"/>
      <c r="L4"/>
      <c r="M4"/>
      <c r="N4"/>
      <c r="O4" s="8">
        <v>7</v>
      </c>
      <c r="P4" s="11">
        <v>940</v>
      </c>
      <c r="Q4" s="11">
        <v>900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 spans="1:80" ht="15" customHeight="1" x14ac:dyDescent="0.3">
      <c r="A5" s="4">
        <v>2</v>
      </c>
      <c r="B5" s="1">
        <v>55</v>
      </c>
      <c r="C5" s="1">
        <v>64</v>
      </c>
      <c r="H5" s="8">
        <v>2</v>
      </c>
      <c r="I5" s="11">
        <v>55</v>
      </c>
      <c r="J5" s="11">
        <v>64</v>
      </c>
      <c r="K5"/>
      <c r="L5"/>
      <c r="M5"/>
      <c r="N5"/>
      <c r="O5" s="8">
        <v>8</v>
      </c>
      <c r="P5" s="11">
        <v>1091</v>
      </c>
      <c r="Q5" s="11">
        <v>1024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 spans="1:80" ht="15" customHeight="1" x14ac:dyDescent="0.3">
      <c r="A6" s="4">
        <v>3</v>
      </c>
      <c r="B6" s="1">
        <v>56</v>
      </c>
      <c r="C6" s="1">
        <v>68</v>
      </c>
      <c r="H6" s="8">
        <v>3</v>
      </c>
      <c r="I6" s="11">
        <v>56</v>
      </c>
      <c r="J6" s="11">
        <v>68</v>
      </c>
      <c r="K6"/>
      <c r="L6"/>
      <c r="M6"/>
      <c r="N6"/>
      <c r="O6" s="8">
        <v>9</v>
      </c>
      <c r="P6" s="11">
        <v>960</v>
      </c>
      <c r="Q6" s="11">
        <v>910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80" ht="15" customHeight="1" x14ac:dyDescent="0.3">
      <c r="A7" s="4">
        <v>4</v>
      </c>
      <c r="B7" s="1">
        <v>89</v>
      </c>
      <c r="C7" s="1">
        <v>94</v>
      </c>
      <c r="H7" s="8">
        <v>4</v>
      </c>
      <c r="I7" s="11">
        <v>89</v>
      </c>
      <c r="J7" s="11">
        <v>94</v>
      </c>
      <c r="K7"/>
      <c r="L7"/>
      <c r="M7"/>
      <c r="N7"/>
      <c r="O7" s="8">
        <v>10</v>
      </c>
      <c r="P7" s="11">
        <v>903</v>
      </c>
      <c r="Q7" s="11">
        <v>907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80" ht="15" customHeight="1" x14ac:dyDescent="0.3">
      <c r="A8" s="4">
        <v>5</v>
      </c>
      <c r="B8" s="1">
        <v>194</v>
      </c>
      <c r="C8" s="1">
        <v>197</v>
      </c>
      <c r="H8" s="8">
        <v>5</v>
      </c>
      <c r="I8" s="11">
        <v>194</v>
      </c>
      <c r="J8" s="11">
        <v>197</v>
      </c>
      <c r="K8"/>
      <c r="L8"/>
      <c r="M8"/>
      <c r="N8"/>
      <c r="O8" s="8">
        <v>11</v>
      </c>
      <c r="P8" s="11">
        <v>991</v>
      </c>
      <c r="Q8" s="11">
        <v>1012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80" ht="15" customHeight="1" x14ac:dyDescent="0.3">
      <c r="A9" s="4">
        <v>6</v>
      </c>
      <c r="B9" s="1">
        <v>555</v>
      </c>
      <c r="C9" s="1">
        <v>556</v>
      </c>
      <c r="H9" s="8">
        <v>6</v>
      </c>
      <c r="I9" s="11">
        <v>555</v>
      </c>
      <c r="J9" s="11">
        <v>556</v>
      </c>
      <c r="K9"/>
      <c r="L9"/>
      <c r="M9"/>
      <c r="N9"/>
      <c r="O9" s="8">
        <v>12</v>
      </c>
      <c r="P9" s="11">
        <v>1102</v>
      </c>
      <c r="Q9" s="11">
        <v>1128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80" ht="15" customHeight="1" x14ac:dyDescent="0.3">
      <c r="A10" s="4">
        <v>7</v>
      </c>
      <c r="B10" s="1">
        <v>940</v>
      </c>
      <c r="C10" s="1">
        <v>900</v>
      </c>
      <c r="H10" s="8">
        <v>7</v>
      </c>
      <c r="I10" s="11">
        <v>940</v>
      </c>
      <c r="J10" s="11">
        <v>900</v>
      </c>
      <c r="K10"/>
      <c r="L10"/>
      <c r="M10"/>
      <c r="N10"/>
      <c r="O10" s="8">
        <v>13</v>
      </c>
      <c r="P10" s="11">
        <v>1178</v>
      </c>
      <c r="Q10" s="11">
        <v>1201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80" ht="15" customHeight="1" x14ac:dyDescent="0.3">
      <c r="A11" s="4">
        <v>8</v>
      </c>
      <c r="B11" s="1">
        <v>1091</v>
      </c>
      <c r="C11" s="1">
        <v>1024</v>
      </c>
      <c r="H11" s="8">
        <v>8</v>
      </c>
      <c r="I11" s="11">
        <v>1091</v>
      </c>
      <c r="J11" s="11">
        <v>1024</v>
      </c>
      <c r="K11"/>
      <c r="L11"/>
      <c r="M11"/>
      <c r="N11"/>
      <c r="O11" s="8">
        <v>14</v>
      </c>
      <c r="P11" s="11">
        <v>1192</v>
      </c>
      <c r="Q11" s="11">
        <v>1210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80" ht="15" customHeight="1" x14ac:dyDescent="0.3">
      <c r="A12" s="4">
        <v>9</v>
      </c>
      <c r="B12" s="1">
        <v>960</v>
      </c>
      <c r="C12" s="1">
        <v>910</v>
      </c>
      <c r="H12" s="8">
        <v>9</v>
      </c>
      <c r="I12" s="11">
        <v>960</v>
      </c>
      <c r="J12" s="11">
        <v>910</v>
      </c>
      <c r="K12"/>
      <c r="L12"/>
      <c r="M12"/>
      <c r="N12"/>
      <c r="O12" s="8">
        <v>15</v>
      </c>
      <c r="P12" s="11">
        <v>1276</v>
      </c>
      <c r="Q12" s="11">
        <v>1285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</row>
    <row r="13" spans="1:80" ht="15" customHeight="1" x14ac:dyDescent="0.3">
      <c r="A13" s="4">
        <v>10</v>
      </c>
      <c r="B13" s="1">
        <v>903</v>
      </c>
      <c r="C13" s="1">
        <v>907</v>
      </c>
      <c r="H13" s="8">
        <v>10</v>
      </c>
      <c r="I13" s="11">
        <v>903</v>
      </c>
      <c r="J13" s="11">
        <v>907</v>
      </c>
      <c r="K13"/>
      <c r="L13"/>
      <c r="M13"/>
      <c r="N13"/>
      <c r="O13" s="8">
        <v>16</v>
      </c>
      <c r="P13" s="11">
        <v>1411</v>
      </c>
      <c r="Q13" s="11">
        <v>1389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80" ht="15" customHeight="1" x14ac:dyDescent="0.3">
      <c r="A14" s="4">
        <v>11</v>
      </c>
      <c r="B14" s="1">
        <v>991</v>
      </c>
      <c r="C14" s="1">
        <v>1012</v>
      </c>
      <c r="H14" s="8">
        <v>11</v>
      </c>
      <c r="I14" s="11">
        <v>991</v>
      </c>
      <c r="J14" s="11">
        <v>1012</v>
      </c>
      <c r="K14"/>
      <c r="L14"/>
      <c r="M14"/>
      <c r="N14"/>
      <c r="O14" s="8">
        <v>17</v>
      </c>
      <c r="P14" s="11">
        <v>1456</v>
      </c>
      <c r="Q14" s="11">
        <v>1413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</row>
    <row r="15" spans="1:80" ht="15" customHeight="1" x14ac:dyDescent="0.3">
      <c r="A15" s="4">
        <v>12</v>
      </c>
      <c r="B15" s="1">
        <v>1102</v>
      </c>
      <c r="C15" s="1">
        <v>1128</v>
      </c>
      <c r="H15" s="8">
        <v>12</v>
      </c>
      <c r="I15" s="11">
        <v>1102</v>
      </c>
      <c r="J15" s="11">
        <v>1128</v>
      </c>
      <c r="K15"/>
      <c r="L15"/>
      <c r="M15"/>
      <c r="N15"/>
      <c r="O15" s="8">
        <v>18</v>
      </c>
      <c r="P15" s="11">
        <v>1252</v>
      </c>
      <c r="Q15" s="11">
        <v>1183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</row>
    <row r="16" spans="1:80" ht="15" customHeight="1" x14ac:dyDescent="0.3">
      <c r="A16" s="4">
        <v>13</v>
      </c>
      <c r="B16" s="1">
        <v>1178</v>
      </c>
      <c r="C16" s="1">
        <v>1201</v>
      </c>
      <c r="H16" s="8">
        <v>13</v>
      </c>
      <c r="I16" s="11">
        <v>1178</v>
      </c>
      <c r="J16" s="11">
        <v>1201</v>
      </c>
      <c r="K16"/>
      <c r="L16"/>
      <c r="M16"/>
      <c r="N16"/>
      <c r="O16" s="8">
        <v>19</v>
      </c>
      <c r="P16" s="11">
        <v>933</v>
      </c>
      <c r="Q16" s="11">
        <v>878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</row>
    <row r="17" spans="1:57" ht="15" customHeight="1" x14ac:dyDescent="0.3">
      <c r="A17" s="4">
        <v>14</v>
      </c>
      <c r="B17" s="1">
        <v>1192</v>
      </c>
      <c r="C17" s="1">
        <v>1210</v>
      </c>
      <c r="H17" s="8">
        <v>14</v>
      </c>
      <c r="I17" s="11">
        <v>1192</v>
      </c>
      <c r="J17" s="11">
        <v>1210</v>
      </c>
      <c r="K17"/>
      <c r="L17"/>
      <c r="M17"/>
      <c r="N17"/>
      <c r="O17" s="8">
        <v>20</v>
      </c>
      <c r="P17" s="11">
        <v>675</v>
      </c>
      <c r="Q17" s="11">
        <v>632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</row>
    <row r="18" spans="1:57" ht="15" customHeight="1" x14ac:dyDescent="0.3">
      <c r="A18" s="4">
        <v>15</v>
      </c>
      <c r="B18" s="1">
        <v>1276</v>
      </c>
      <c r="C18" s="1">
        <v>1285</v>
      </c>
      <c r="H18" s="8">
        <v>15</v>
      </c>
      <c r="I18" s="11">
        <v>1276</v>
      </c>
      <c r="J18" s="11">
        <v>1285</v>
      </c>
      <c r="K18"/>
      <c r="L18"/>
      <c r="M18"/>
      <c r="N18"/>
      <c r="O18" s="8" t="s">
        <v>7</v>
      </c>
      <c r="P18" s="11">
        <v>15915</v>
      </c>
      <c r="Q18" s="11">
        <v>15628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57" ht="15" customHeight="1" x14ac:dyDescent="0.3">
      <c r="A19" s="4">
        <v>16</v>
      </c>
      <c r="B19" s="1">
        <v>1411</v>
      </c>
      <c r="C19" s="1">
        <v>1389</v>
      </c>
      <c r="H19" s="8">
        <v>16</v>
      </c>
      <c r="I19" s="11">
        <v>1411</v>
      </c>
      <c r="J19" s="11">
        <v>1389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57" ht="15" customHeight="1" x14ac:dyDescent="0.3">
      <c r="A20" s="4">
        <v>17</v>
      </c>
      <c r="B20" s="1">
        <v>1456</v>
      </c>
      <c r="C20" s="1">
        <v>1413</v>
      </c>
      <c r="H20" s="8">
        <v>17</v>
      </c>
      <c r="I20" s="11">
        <v>1456</v>
      </c>
      <c r="J20" s="11">
        <v>1413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57" ht="15" customHeight="1" x14ac:dyDescent="0.3">
      <c r="A21" s="4">
        <v>18</v>
      </c>
      <c r="B21" s="1">
        <v>1252</v>
      </c>
      <c r="C21" s="1">
        <v>1183</v>
      </c>
      <c r="H21" s="8">
        <v>18</v>
      </c>
      <c r="I21" s="11">
        <v>1252</v>
      </c>
      <c r="J21" s="11">
        <v>1183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57" ht="15" customHeight="1" x14ac:dyDescent="0.3">
      <c r="A22" s="4">
        <v>19</v>
      </c>
      <c r="B22" s="1">
        <v>933</v>
      </c>
      <c r="C22" s="1">
        <v>878</v>
      </c>
      <c r="H22" s="8">
        <v>19</v>
      </c>
      <c r="I22" s="11">
        <v>933</v>
      </c>
      <c r="J22" s="11">
        <v>878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57" ht="15" customHeight="1" x14ac:dyDescent="0.3">
      <c r="A23" s="4">
        <v>20</v>
      </c>
      <c r="B23" s="1">
        <v>675</v>
      </c>
      <c r="C23" s="1">
        <v>632</v>
      </c>
      <c r="H23" s="8">
        <v>20</v>
      </c>
      <c r="I23" s="11">
        <v>675</v>
      </c>
      <c r="J23" s="11">
        <v>632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57" ht="15" customHeight="1" x14ac:dyDescent="0.3">
      <c r="A24" s="4">
        <v>21</v>
      </c>
      <c r="B24" s="1">
        <v>486</v>
      </c>
      <c r="C24" s="1">
        <v>441</v>
      </c>
      <c r="H24" s="8">
        <v>21</v>
      </c>
      <c r="I24" s="11">
        <v>486</v>
      </c>
      <c r="J24" s="11">
        <v>441</v>
      </c>
      <c r="K24"/>
      <c r="L24"/>
      <c r="M24"/>
      <c r="N24"/>
      <c r="O24" t="s">
        <v>5</v>
      </c>
      <c r="P24">
        <v>9.3310000000000004E-2</v>
      </c>
      <c r="Q24">
        <v>9.2100000000000001E-2</v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57" ht="15" customHeight="1" x14ac:dyDescent="0.3">
      <c r="A25" s="4">
        <v>22</v>
      </c>
      <c r="B25" s="1">
        <v>331</v>
      </c>
      <c r="C25" s="1">
        <v>302</v>
      </c>
      <c r="H25" s="8">
        <v>22</v>
      </c>
      <c r="I25" s="11">
        <v>331</v>
      </c>
      <c r="J25" s="11">
        <v>302</v>
      </c>
      <c r="K25"/>
      <c r="L25"/>
      <c r="M25"/>
      <c r="N25"/>
      <c r="O25" s="7" t="s">
        <v>0</v>
      </c>
      <c r="P25" t="s">
        <v>3</v>
      </c>
      <c r="Q25" t="s">
        <v>2</v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57" ht="15" customHeight="1" x14ac:dyDescent="0.3">
      <c r="A26" s="5">
        <v>23</v>
      </c>
      <c r="B26" s="3">
        <v>213</v>
      </c>
      <c r="C26" s="3">
        <v>203</v>
      </c>
      <c r="H26" s="8">
        <v>23</v>
      </c>
      <c r="I26" s="11">
        <v>213</v>
      </c>
      <c r="J26" s="11">
        <v>203</v>
      </c>
      <c r="K26"/>
      <c r="L26"/>
      <c r="M26"/>
      <c r="N26"/>
      <c r="O26" s="8">
        <v>0</v>
      </c>
      <c r="P26" s="11">
        <v>134</v>
      </c>
      <c r="Q26" s="11">
        <v>134</v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57" ht="15" customHeight="1" x14ac:dyDescent="0.3">
      <c r="H27" s="8" t="s">
        <v>7</v>
      </c>
      <c r="I27" s="11">
        <v>17553</v>
      </c>
      <c r="J27" s="11">
        <v>17214</v>
      </c>
      <c r="K27"/>
      <c r="L27"/>
      <c r="M27"/>
      <c r="N27"/>
      <c r="O27" s="8">
        <v>1</v>
      </c>
      <c r="P27" s="11">
        <v>80</v>
      </c>
      <c r="Q27" s="11">
        <v>83</v>
      </c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57" ht="15" customHeight="1" x14ac:dyDescent="0.3">
      <c r="H28"/>
      <c r="I28"/>
      <c r="J28"/>
      <c r="K28"/>
      <c r="L28"/>
      <c r="M28"/>
      <c r="N28"/>
      <c r="O28" s="8">
        <v>2</v>
      </c>
      <c r="P28" s="11">
        <v>55</v>
      </c>
      <c r="Q28" s="11">
        <v>64</v>
      </c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57" ht="15" customHeight="1" x14ac:dyDescent="0.3">
      <c r="H29"/>
      <c r="I29"/>
      <c r="J29"/>
      <c r="K29"/>
      <c r="L29"/>
      <c r="M29"/>
      <c r="N29"/>
      <c r="O29" s="8">
        <v>3</v>
      </c>
      <c r="P29" s="11">
        <v>56</v>
      </c>
      <c r="Q29" s="11">
        <v>68</v>
      </c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57" ht="15" customHeight="1" x14ac:dyDescent="0.3">
      <c r="H30"/>
      <c r="I30"/>
      <c r="J30"/>
      <c r="K30"/>
      <c r="L30"/>
      <c r="M30"/>
      <c r="N30"/>
      <c r="O30" s="8">
        <v>4</v>
      </c>
      <c r="P30" s="11">
        <v>89</v>
      </c>
      <c r="Q30" s="11">
        <v>94</v>
      </c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 spans="1:57" ht="15" customHeight="1" x14ac:dyDescent="0.3">
      <c r="H31"/>
      <c r="I31"/>
      <c r="J31"/>
      <c r="K31"/>
      <c r="L31"/>
      <c r="M31"/>
      <c r="N31"/>
      <c r="O31" s="8">
        <v>5</v>
      </c>
      <c r="P31" s="11">
        <v>194</v>
      </c>
      <c r="Q31" s="11">
        <v>197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1:57" ht="15" customHeight="1" x14ac:dyDescent="0.3">
      <c r="H32"/>
      <c r="I32"/>
      <c r="J32"/>
      <c r="K32"/>
      <c r="L32"/>
      <c r="M32"/>
      <c r="N32"/>
      <c r="O32" s="8">
        <v>21</v>
      </c>
      <c r="P32" s="11">
        <v>486</v>
      </c>
      <c r="Q32" s="11">
        <v>441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8:33" ht="15" customHeight="1" x14ac:dyDescent="0.3">
      <c r="H33"/>
      <c r="I33"/>
      <c r="J33"/>
      <c r="K33"/>
      <c r="L33"/>
      <c r="M33"/>
      <c r="N33"/>
      <c r="O33" s="8">
        <v>22</v>
      </c>
      <c r="P33" s="11">
        <v>331</v>
      </c>
      <c r="Q33" s="11">
        <v>302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 spans="8:33" ht="15" customHeight="1" x14ac:dyDescent="0.3">
      <c r="H34"/>
      <c r="I34"/>
      <c r="J34"/>
      <c r="K34"/>
      <c r="L34"/>
      <c r="M34"/>
      <c r="N34"/>
      <c r="O34" s="8">
        <v>23</v>
      </c>
      <c r="P34" s="11">
        <v>213</v>
      </c>
      <c r="Q34" s="11">
        <v>203</v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 spans="8:33" ht="15" customHeight="1" x14ac:dyDescent="0.3">
      <c r="H35"/>
      <c r="I35"/>
      <c r="J35"/>
      <c r="K35"/>
      <c r="L35"/>
      <c r="M35"/>
      <c r="N35"/>
      <c r="O35" s="8" t="s">
        <v>8</v>
      </c>
      <c r="P35" s="11">
        <v>1638</v>
      </c>
      <c r="Q35" s="11">
        <v>1586</v>
      </c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8:33" ht="15" customHeight="1" x14ac:dyDescent="0.3"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8:33" ht="15" customHeight="1" x14ac:dyDescent="0.3"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8:33" ht="15" customHeight="1" x14ac:dyDescent="0.3"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8:33" ht="15" customHeight="1" x14ac:dyDescent="0.3"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8:33" ht="15" customHeight="1" x14ac:dyDescent="0.3"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8:33" ht="15" customHeight="1" x14ac:dyDescent="0.3"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8:33" ht="15" customHeight="1" x14ac:dyDescent="0.3"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8:33" ht="15" customHeight="1" x14ac:dyDescent="0.3"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8:33" ht="15" customHeight="1" x14ac:dyDescent="0.3"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8:33" ht="15" customHeight="1" x14ac:dyDescent="0.3"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8:33" ht="15" customHeight="1" x14ac:dyDescent="0.3"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8:33" ht="15" customHeight="1" x14ac:dyDescent="0.3"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8:33" ht="15" customHeight="1" x14ac:dyDescent="0.3"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 spans="8:33" ht="15" customHeight="1" x14ac:dyDescent="0.3"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 spans="8:33" ht="15" customHeight="1" x14ac:dyDescent="0.3"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 spans="8:33" ht="15" customHeight="1" x14ac:dyDescent="0.3"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 spans="8:33" ht="15" customHeight="1" x14ac:dyDescent="0.3"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</sheetData>
  <mergeCells count="1">
    <mergeCell ref="A1:C1"/>
  </mergeCell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FP-TTFTCD2023TBL1.2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connor</dc:creator>
  <cp:lastModifiedBy>SEAN LIAM CONNOR</cp:lastModifiedBy>
  <dcterms:created xsi:type="dcterms:W3CDTF">2023-02-24T12:59:48Z</dcterms:created>
  <dcterms:modified xsi:type="dcterms:W3CDTF">2026-03-11T15:58:36Z</dcterms:modified>
</cp:coreProperties>
</file>